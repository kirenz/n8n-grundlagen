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ufträge" sheetId="1" state="visible" r:id="rId3"/>
    <sheet name="Monatssum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<sst xmlns="http://schemas.openxmlformats.org/spreadsheetml/2006/main" count="41" uniqueCount="26">
  <si>
    <t xml:space="preserve">Aufträge Juli bis September 2026</t>
  </si>
  <si>
    <t xml:space="preserve">Beträge in EUR inklusive Umsatzsteuer. Preise laut Preisliste 2026.</t>
  </si>
  <si>
    <t xml:space="preserve">Nr.</t>
  </si>
  <si>
    <t xml:space="preserve">Datum</t>
  </si>
  <si>
    <t xml:space="preserve">Leistung</t>
  </si>
  <si>
    <t xml:space="preserve">Menge</t>
  </si>
  <si>
    <t xml:space="preserve">Einheit</t>
  </si>
  <si>
    <t xml:space="preserve">Einzelpreis</t>
  </si>
  <si>
    <t xml:space="preserve">Betrag</t>
  </si>
  <si>
    <t xml:space="preserve">Kleine Reparatur</t>
  </si>
  <si>
    <t xml:space="preserve">pauschal</t>
  </si>
  <si>
    <t xml:space="preserve">Reparatur nach Aufwand</t>
  </si>
  <si>
    <t xml:space="preserve">Stunde</t>
  </si>
  <si>
    <t xml:space="preserve">Anfahrt</t>
  </si>
  <si>
    <t xml:space="preserve">km</t>
  </si>
  <si>
    <t xml:space="preserve">Beratung vor Ort</t>
  </si>
  <si>
    <t xml:space="preserve">Termin</t>
  </si>
  <si>
    <t xml:space="preserve">Eilzuschlag</t>
  </si>
  <si>
    <t xml:space="preserve">Monatssummen Juli bis September 2026</t>
  </si>
  <si>
    <t xml:space="preserve">Monat</t>
  </si>
  <si>
    <t xml:space="preserve">Aufträge</t>
  </si>
  <si>
    <t xml:space="preserve">Summe</t>
  </si>
  <si>
    <t xml:space="preserve">Juli 2026</t>
  </si>
  <si>
    <t xml:space="preserve">August 2026</t>
  </si>
  <si>
    <t xml:space="preserve">September 2026</t>
  </si>
  <si>
    <t xml:space="preserve">Gesamt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</si>
</sst>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.MM.YYYY"/>
    <numFmt numFmtId="166" formatCode="0"/>
    <numFmt numFmtId="167" formatCode="#,##0.00"/>
    <numFmt numFmtId="168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customFormat="false" ht="15" hidden="false" customHeight="false" outlineLevel="0" collapsed="false">
      <c r="A5" s="0" t="n">
        <v>1</v>
      </c>
      <c r="B5" s="3" t="n">
        <v>46206</v>
      </c>
      <c r="C5" s="0" t="s">
        <v>9</v>
      </c>
      <c r="D5" s="4" t="n">
        <v>1</v>
      </c>
      <c r="E5" s="0" t="s">
        <v>10</v>
      </c>
      <c r="F5" s="5" t="n">
        <v>45</v>
      </c>
      <c r="G5" s="5" t="n">
        <f aca="false">D5*F5</f>
        <v>45</v>
      </c>
    </row>
    <row r="6" customFormat="false" ht="15" hidden="false" customHeight="false" outlineLevel="0" collapsed="false">
      <c r="A6" s="0" t="n">
        <v>2</v>
      </c>
      <c r="B6" s="3" t="n">
        <v>46211</v>
      </c>
      <c r="C6" s="0" t="s">
        <v>11</v>
      </c>
      <c r="D6" s="6" t="n">
        <v>2.5</v>
      </c>
      <c r="E6" s="0" t="s">
        <v>12</v>
      </c>
      <c r="F6" s="5" t="n">
        <v>68</v>
      </c>
      <c r="G6" s="5" t="n">
        <f aca="false">D6*F6</f>
        <v>170</v>
      </c>
    </row>
    <row r="7" customFormat="false" ht="15" hidden="false" customHeight="false" outlineLevel="0" collapsed="false">
      <c r="A7" s="0" t="n">
        <v>3</v>
      </c>
      <c r="B7" s="3" t="n">
        <v>46218</v>
      </c>
      <c r="C7" s="0" t="s">
        <v>13</v>
      </c>
      <c r="D7" s="4" t="n">
        <v>18</v>
      </c>
      <c r="E7" s="0" t="s">
        <v>14</v>
      </c>
      <c r="F7" s="5" t="n">
        <v>1.2</v>
      </c>
      <c r="G7" s="5" t="n">
        <f aca="false">D7*F7</f>
        <v>21.6</v>
      </c>
    </row>
    <row r="8" customFormat="false" ht="15" hidden="false" customHeight="false" outlineLevel="0" collapsed="false">
      <c r="A8" s="0" t="n">
        <v>4</v>
      </c>
      <c r="B8" s="3" t="n">
        <v>46218</v>
      </c>
      <c r="C8" s="0" t="s">
        <v>15</v>
      </c>
      <c r="D8" s="4" t="n">
        <v>1</v>
      </c>
      <c r="E8" s="0" t="s">
        <v>16</v>
      </c>
      <c r="F8" s="5" t="n">
        <v>89</v>
      </c>
      <c r="G8" s="5" t="n">
        <f aca="false">D8*F8</f>
        <v>89</v>
      </c>
    </row>
    <row r="9" customFormat="false" ht="15" hidden="false" customHeight="false" outlineLevel="0" collapsed="false">
      <c r="A9" s="0" t="n">
        <v>5</v>
      </c>
      <c r="B9" s="3" t="n">
        <v>46238</v>
      </c>
      <c r="C9" s="0" t="s">
        <v>9</v>
      </c>
      <c r="D9" s="4" t="n">
        <v>1</v>
      </c>
      <c r="E9" s="0" t="s">
        <v>10</v>
      </c>
      <c r="F9" s="5" t="n">
        <v>45</v>
      </c>
      <c r="G9" s="5" t="n">
        <f aca="false">D9*F9</f>
        <v>45</v>
      </c>
    </row>
    <row r="10" customFormat="false" ht="15" hidden="false" customHeight="false" outlineLevel="0" collapsed="false">
      <c r="A10" s="0" t="n">
        <v>6</v>
      </c>
      <c r="B10" s="3" t="n">
        <v>46245</v>
      </c>
      <c r="C10" s="0" t="s">
        <v>11</v>
      </c>
      <c r="D10" s="6" t="n">
        <v>1.5</v>
      </c>
      <c r="E10" s="0" t="s">
        <v>12</v>
      </c>
      <c r="F10" s="5" t="n">
        <v>68</v>
      </c>
      <c r="G10" s="5" t="n">
        <f aca="false">D10*F10</f>
        <v>102</v>
      </c>
    </row>
    <row r="11" customFormat="false" ht="15" hidden="false" customHeight="false" outlineLevel="0" collapsed="false">
      <c r="A11" s="0" t="n">
        <v>7</v>
      </c>
      <c r="B11" s="3" t="n">
        <v>46245</v>
      </c>
      <c r="C11" s="0" t="s">
        <v>17</v>
      </c>
      <c r="D11" s="4" t="n">
        <v>1</v>
      </c>
      <c r="E11" s="0" t="s">
        <v>10</v>
      </c>
      <c r="F11" s="5" t="n">
        <v>35</v>
      </c>
      <c r="G11" s="5" t="n">
        <f aca="false">D11*F11</f>
        <v>35</v>
      </c>
    </row>
    <row r="12" customFormat="false" ht="15" hidden="false" customHeight="false" outlineLevel="0" collapsed="false">
      <c r="A12" s="0" t="n">
        <v>8</v>
      </c>
      <c r="B12" s="3" t="n">
        <v>46259</v>
      </c>
      <c r="C12" s="0" t="s">
        <v>13</v>
      </c>
      <c r="D12" s="4" t="n">
        <v>24</v>
      </c>
      <c r="E12" s="0" t="s">
        <v>14</v>
      </c>
      <c r="F12" s="5" t="n">
        <v>1.2</v>
      </c>
      <c r="G12" s="5" t="n">
        <f aca="false">D12*F12</f>
        <v>28.8</v>
      </c>
    </row>
    <row r="13" customFormat="false" ht="15" hidden="false" customHeight="false" outlineLevel="0" collapsed="false">
      <c r="A13" s="0" t="n">
        <v>9</v>
      </c>
      <c r="B13" s="3" t="n">
        <v>46267</v>
      </c>
      <c r="C13" s="0" t="s">
        <v>15</v>
      </c>
      <c r="D13" s="4" t="n">
        <v>1</v>
      </c>
      <c r="E13" s="0" t="s">
        <v>16</v>
      </c>
      <c r="F13" s="5" t="n">
        <v>89</v>
      </c>
      <c r="G13" s="5" t="n">
        <f aca="false">D13*F13</f>
        <v>89</v>
      </c>
    </row>
    <row r="14" customFormat="false" ht="15" hidden="false" customHeight="false" outlineLevel="0" collapsed="false">
      <c r="A14" s="0" t="n">
        <v>10</v>
      </c>
      <c r="B14" s="3" t="n">
        <v>46274</v>
      </c>
      <c r="C14" s="0" t="s">
        <v>11</v>
      </c>
      <c r="D14" s="4" t="n">
        <v>3</v>
      </c>
      <c r="E14" s="0" t="s">
        <v>12</v>
      </c>
      <c r="F14" s="5" t="n">
        <v>68</v>
      </c>
      <c r="G14" s="5" t="n">
        <f aca="false">D14*F14</f>
        <v>204</v>
      </c>
    </row>
    <row r="15" customFormat="false" ht="15" hidden="false" customHeight="false" outlineLevel="0" collapsed="false">
      <c r="A15" s="0" t="n">
        <v>11</v>
      </c>
      <c r="B15" s="3" t="n">
        <v>46281</v>
      </c>
      <c r="C15" s="0" t="s">
        <v>9</v>
      </c>
      <c r="D15" s="4" t="n">
        <v>1</v>
      </c>
      <c r="E15" s="0" t="s">
        <v>10</v>
      </c>
      <c r="F15" s="5" t="n">
        <v>45</v>
      </c>
      <c r="G15" s="5" t="n">
        <f aca="false">D15*F15</f>
        <v>45</v>
      </c>
    </row>
    <row r="16" customFormat="false" ht="15" hidden="false" customHeight="false" outlineLevel="0" collapsed="false">
      <c r="A16" s="0" t="n">
        <v>12</v>
      </c>
      <c r="B16" s="3" t="n">
        <v>46288</v>
      </c>
      <c r="C16" s="0" t="s">
        <v>13</v>
      </c>
      <c r="D16" s="4" t="n">
        <v>12</v>
      </c>
      <c r="E16" s="0" t="s">
        <v>14</v>
      </c>
      <c r="F16" s="5" t="n">
        <v>1.2</v>
      </c>
      <c r="G16" s="5" t="n">
        <f aca="false">D16*F16</f>
        <v>14.4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18</v>
      </c>
      <c r="B1" s="1"/>
      <c r="C1" s="1"/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</row>
    <row r="4" customFormat="false" ht="15" hidden="false" customHeight="false" outlineLevel="0" collapsed="false">
      <c r="A4" s="0" t="s">
        <v>22</v>
      </c>
      <c r="B4" s="0" t="n">
        <f aca="false">COUNTIFS(Aufträge!$B$5:$B$16,"&gt;="&amp;DATE(2026,7,1),Aufträge!$B$5:$B$16,"&lt;"&amp;DATE(2026,8,1))</f>
        <v>4</v>
      </c>
      <c r="C4" s="7" t="n">
        <f aca="false">SUMIFS(Aufträge!$G$5:$G$16,Aufträge!$B$5:$B$16,"&gt;="&amp;DATE(2026,7,1),Aufträge!$B$5:$B$16,"&lt;"&amp;DATE(2026,8,1))</f>
        <v>325.6</v>
      </c>
    </row>
    <row r="5" customFormat="false" ht="15" hidden="false" customHeight="false" outlineLevel="0" collapsed="false">
      <c r="A5" s="0" t="s">
        <v>23</v>
      </c>
      <c r="B5" s="0" t="n">
        <f aca="false">COUNTIFS(Aufträge!$B$5:$B$16,"&gt;="&amp;DATE(2026,8,1),Aufträge!$B$5:$B$16,"&lt;"&amp;DATE(2026,9,1))</f>
        <v>4</v>
      </c>
      <c r="C5" s="7" t="n">
        <f aca="false">SUMIFS(Aufträge!$G$5:$G$16,Aufträge!$B$5:$B$16,"&gt;="&amp;DATE(2026,8,1),Aufträge!$B$5:$B$16,"&lt;"&amp;DATE(2026,9,1))</f>
        <v>210.8</v>
      </c>
    </row>
    <row r="6" customFormat="false" ht="15" hidden="false" customHeight="false" outlineLevel="0" collapsed="false">
      <c r="A6" s="0" t="s">
        <v>24</v>
      </c>
      <c r="B6" s="0" t="n">
        <f aca="false">COUNTIFS(Aufträge!$B$5:$B$16,"&gt;="&amp;DATE(2026,9,1),Aufträge!$B$5:$B$16,"&lt;"&amp;DATE(2026,10,1))</f>
        <v>4</v>
      </c>
      <c r="C6" s="7" t="n">
        <f aca="false">SUMIFS(Aufträge!$G$5:$G$16,Aufträge!$B$5:$B$16,"&gt;="&amp;DATE(2026,9,1),Aufträge!$B$5:$B$16,"&lt;"&amp;DATE(2026,10,1))</f>
        <v>352.4</v>
      </c>
    </row>
    <row r="7" customFormat="false" ht="15" hidden="false" customHeight="false" outlineLevel="0" collapsed="false">
      <c r="A7" s="2" t="s">
        <v>25</v>
      </c>
      <c r="B7" s="2" t="n">
        <f aca="false">SUM(B4:B6)</f>
        <v>12</v>
      </c>
      <c r="C7" s="8" t="n">
        <f aca="false">SUM(C4:C6)</f>
        <v>888.8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2026-10-17T14:00:47Z</dcterms:created>
  <dc:creator>openpyxl</dc:creator>
  <dc:description/>
  <dc:language>de-DE</dc:language>
  <cp:lastModifiedBy/>
  <dcterms:modified xsi:type="dcterms:W3CDTF">2026-10-17T14:00:47Z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